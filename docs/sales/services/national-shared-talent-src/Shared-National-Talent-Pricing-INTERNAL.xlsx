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Hour packages" sheetId="3" state="visible" r:id="rId3"/>
    <sheet xmlns:r="http://schemas.openxmlformats.org/officeDocument/2006/relationships" name="Pay structure" sheetId="4" state="visible" r:id="rId4"/>
    <sheet xmlns:r="http://schemas.openxmlformats.org/officeDocument/2006/relationships" name="Development plan" sheetId="5" state="visible" r:id="rId5"/>
    <sheet xmlns:r="http://schemas.openxmlformats.org/officeDocument/2006/relationships" name="Utilis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B1B5A"/>
      <sz val="11"/>
    </font>
    <font>
      <name val="Arial"/>
      <color rgb="006A7596"/>
      <sz val="9"/>
    </font>
    <font>
      <name val="Arial"/>
      <b val="1"/>
      <color rgb="000B1B5A"/>
      <sz val="11"/>
    </font>
    <font>
      <name val="Arial"/>
      <b val="1"/>
      <color rgb="000B1B5A"/>
    </font>
    <font>
      <name val="Arial"/>
      <b val="1"/>
      <color rgb="00FFFFFF"/>
    </font>
    <font>
      <name val="Arial"/>
      <color rgb="000B1B5A"/>
      <sz val="10"/>
    </font>
    <font>
      <name val="Arial"/>
      <b val="1"/>
      <color rgb="000B1B5A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B5A"/>
      </patternFill>
    </fill>
    <fill>
      <patternFill patternType="solid">
        <fgColor rgb="00DCE6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DE1EE"/>
      </left>
      <right style="thin">
        <color rgb="00DDE1EE"/>
      </right>
      <top style="thin">
        <color rgb="00DDE1EE"/>
      </top>
      <bottom style="thin">
        <color rgb="00DDE1EE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4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0" fillId="3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5" fontId="8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2" fontId="8" fillId="3" borderId="0" applyAlignment="1" pivotButton="0" quotePrefix="0" xfId="0">
      <alignment horizontal="center"/>
    </xf>
    <xf numFmtId="3" fontId="8" fillId="3" borderId="0" applyAlignment="1" pivotButton="0" quotePrefix="0" xfId="0">
      <alignment horizontal="center"/>
    </xf>
    <xf numFmtId="1" fontId="8" fillId="3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4" fontId="8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3" fontId="8" fillId="4" borderId="1" applyAlignment="1" pivotButton="0" quotePrefix="0" xfId="0">
      <alignment horizontal="center"/>
    </xf>
    <xf numFmtId="0" fontId="8" fillId="0" borderId="0" pivotButton="0" quotePrefix="0" xfId="0"/>
    <xf numFmtId="0" fontId="1" fillId="2" borderId="0" pivotButton="0" quotePrefix="0" xfId="0"/>
    <xf numFmtId="0" fontId="9" fillId="2" borderId="1" applyAlignment="1" pivotButton="0" quotePrefix="0" xfId="0">
      <alignment horizontal="center" wrapText="1"/>
    </xf>
    <xf numFmtId="3" fontId="7" fillId="0" borderId="1" pivotButton="0" quotePrefix="0" xfId="0"/>
    <xf numFmtId="1" fontId="7" fillId="0" borderId="1" pivotButton="0" quotePrefix="0" xfId="0"/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58" customWidth="1" min="3" max="3"/>
    <col width="60" customWidth="1" min="4" max="4"/>
  </cols>
  <sheetData>
    <row r="1" ht="34" customHeight="1">
      <c r="A1" s="1" t="inlineStr">
        <is>
          <t>INTERNAL — Shared National Talent: monthly price per assignment   |   الكوادر الوطنية المشتركة — السعر الشهري لكل إسناد (داخلي)</t>
        </is>
      </c>
    </row>
    <row r="2" ht="30" customHeight="1">
      <c r="A2" s="2" t="inlineStr">
        <is>
          <t>Role</t>
        </is>
      </c>
      <c r="B2" s="3" t="inlineStr">
        <is>
          <t>Human resources</t>
        </is>
      </c>
      <c r="C2" s="4" t="inlineStr">
        <is>
          <t>الوظيفة</t>
        </is>
      </c>
      <c r="D2" s="5" t="inlineStr">
        <is>
          <t>Choose from the list</t>
        </is>
      </c>
    </row>
    <row r="3" ht="30" customHeight="1">
      <c r="A3" s="2" t="inlineStr">
        <is>
          <t>Monthly salary, all-inclusive (SAR) — minimum 6,000</t>
        </is>
      </c>
      <c r="B3" s="6" t="n">
        <v>6000</v>
      </c>
      <c r="C3" s="4" t="inlineStr">
        <is>
          <t>الراتب الشهري شاملاً البدلات (ريال) — الحد الأدنى 6,000</t>
        </is>
      </c>
      <c r="D3" s="5" t="inlineStr">
        <is>
          <t>Includes transport, housing and commissions</t>
        </is>
      </c>
    </row>
    <row r="4" ht="30" customHeight="1">
      <c r="A4" s="2" t="inlineStr">
        <is>
          <t>Share of a full-time month assigned to this client (%)</t>
        </is>
      </c>
      <c r="B4" s="7" t="n">
        <v>50</v>
      </c>
      <c r="C4" s="4" t="inlineStr">
        <is>
          <t>نسبة الشهر الكامل المسندة لهذا العميل (%)</t>
        </is>
      </c>
      <c r="D4" s="5" t="inlineStr">
        <is>
          <t>Or enter the hours below</t>
        </is>
      </c>
    </row>
    <row r="5" ht="30" customHeight="1">
      <c r="A5" s="2" t="inlineStr">
        <is>
          <t>Hours per month for this client (optional, overrides the share)</t>
        </is>
      </c>
      <c r="B5" s="7" t="n"/>
      <c r="C5" s="4" t="inlineStr">
        <is>
          <t>ساعات هذا العميل شهرياً (اختياري، يغلب النسبة)</t>
        </is>
      </c>
      <c r="D5" s="5" t="inlineStr">
        <is>
          <t>Leave empty to use the share</t>
        </is>
      </c>
    </row>
    <row r="6" ht="30" customHeight="1">
      <c r="A6" s="2" t="inlineStr">
        <is>
          <t>Hours in a full-time month</t>
        </is>
      </c>
      <c r="B6" s="8">
        <f>5*8*52/12</f>
        <v/>
      </c>
      <c r="C6" s="4" t="inlineStr">
        <is>
          <t>ساعات الشهر الكامل</t>
        </is>
      </c>
      <c r="D6" s="5" t="inlineStr">
        <is>
          <t>5 days × 8 hours × 52 ÷ 12 = 173.33 — owner decision</t>
        </is>
      </c>
    </row>
    <row r="7" ht="30" customHeight="1">
      <c r="A7" s="2" t="inlineStr">
        <is>
          <t>Contract term in months</t>
        </is>
      </c>
      <c r="B7" s="7" t="n">
        <v>12</v>
      </c>
      <c r="C7" s="4" t="inlineStr">
        <is>
          <t>مدة العقد بالأشهر</t>
        </is>
      </c>
      <c r="D7" s="5" t="inlineStr"/>
    </row>
    <row r="8" ht="30" customHeight="1">
      <c r="A8" s="2" t="inlineStr">
        <is>
          <t>Employer social insurance rate (%)</t>
        </is>
      </c>
      <c r="B8" s="8" t="n">
        <v>11.75</v>
      </c>
      <c r="C8" s="4" t="inlineStr">
        <is>
          <t>نسبة التأمينات الاجتماعية على صاحب العمل (%)</t>
        </is>
      </c>
      <c r="D8" s="5" t="inlineStr">
        <is>
          <t>Saudi employer share — assumption to confirm with GOSI</t>
        </is>
      </c>
    </row>
    <row r="9" ht="30" customHeight="1">
      <c r="A9" s="2" t="inlineStr">
        <is>
          <t>Medical insurance per year per employee (SAR)</t>
        </is>
      </c>
      <c r="B9" s="6" t="n">
        <v>600</v>
      </c>
      <c r="C9" s="4" t="inlineStr">
        <is>
          <t>التأمين الطبي سنوياً لكل موظف (ريال)</t>
        </is>
      </c>
      <c r="D9" s="5" t="inlineStr">
        <is>
          <t>Current assumption — replace with the insurer quote</t>
        </is>
      </c>
    </row>
    <row r="10" ht="30" customHeight="1">
      <c r="A10" s="2" t="inlineStr">
        <is>
          <t>Field travel allowance per month, full-time (SAR) — non-administrative roles</t>
        </is>
      </c>
      <c r="B10" s="6" t="n">
        <v>0</v>
      </c>
      <c r="C10" s="4" t="inlineStr">
        <is>
          <t>بدل التنقل الميداني شهرياً دوام كامل (ريال) — للوظائف غير الإدارية</t>
        </is>
      </c>
      <c r="D10" s="5" t="inlineStr">
        <is>
          <t>Enter the amount for field roles</t>
        </is>
      </c>
    </row>
    <row r="11" ht="30" customHeight="1">
      <c r="A11" s="2" t="inlineStr">
        <is>
          <t>Our fee on top of all costs (%)</t>
        </is>
      </c>
      <c r="B11" s="7" t="n">
        <v>15</v>
      </c>
      <c r="C11" s="4" t="inlineStr">
        <is>
          <t>نسبتنا فوق كل التكاليف (%)</t>
        </is>
      </c>
      <c r="D11" s="5" t="inlineStr">
        <is>
          <t>Owner decision 2026-10-22</t>
        </is>
      </c>
    </row>
    <row r="13">
      <c r="A13" s="9" t="inlineStr">
        <is>
          <t>Full-time monthly cost of the employee</t>
        </is>
      </c>
      <c r="C13" s="10" t="inlineStr">
        <is>
          <t>التكلفة الشهرية للموظف بدوام كامل</t>
        </is>
      </c>
    </row>
    <row r="14" ht="30" customHeight="1">
      <c r="A14" s="2" t="inlineStr">
        <is>
          <t>Salary, all-inclusive</t>
        </is>
      </c>
      <c r="B14" s="11">
        <f>B3</f>
        <v/>
      </c>
      <c r="C14" s="4" t="inlineStr">
        <is>
          <t>الراتب شاملاً البدلات</t>
        </is>
      </c>
      <c r="D14" s="5" t="inlineStr"/>
    </row>
    <row r="15" ht="30" customHeight="1">
      <c r="A15" s="2" t="inlineStr">
        <is>
          <t>Employer social insurance</t>
        </is>
      </c>
      <c r="B15" s="11">
        <f>B3*B8/100</f>
        <v/>
      </c>
      <c r="C15" s="4" t="inlineStr">
        <is>
          <t>التأمينات الاجتماعية على صاحب العمل</t>
        </is>
      </c>
      <c r="D15" s="5" t="inlineStr">
        <is>
          <t>Salary × rate</t>
        </is>
      </c>
    </row>
    <row r="16" ht="30" customHeight="1">
      <c r="A16" s="2" t="inlineStr">
        <is>
          <t>Medical insurance</t>
        </is>
      </c>
      <c r="B16" s="11">
        <f>B9/12</f>
        <v/>
      </c>
      <c r="C16" s="4" t="inlineStr">
        <is>
          <t>التأمين الطبي</t>
        </is>
      </c>
      <c r="D16" s="5" t="inlineStr">
        <is>
          <t>Annual ÷ 12</t>
        </is>
      </c>
    </row>
    <row r="17" ht="30" customHeight="1">
      <c r="A17" s="2" t="inlineStr">
        <is>
          <t>End of service accrual</t>
        </is>
      </c>
      <c r="B17" s="11">
        <f>B3/24</f>
        <v/>
      </c>
      <c r="C17" s="4" t="inlineStr">
        <is>
          <t>مكافأة نهاية الخدمة</t>
        </is>
      </c>
      <c r="D17" s="5" t="inlineStr">
        <is>
          <t>Salary ÷ 24 (half a month a year for five years)</t>
        </is>
      </c>
    </row>
    <row r="18" ht="30" customHeight="1">
      <c r="A18" s="2" t="inlineStr">
        <is>
          <t>Leave pay (21 days a year)</t>
        </is>
      </c>
      <c r="B18" s="11">
        <f>B3/30*21/12</f>
        <v/>
      </c>
      <c r="C18" s="4" t="inlineStr">
        <is>
          <t>بدل الإجازة (21 يوماً)</t>
        </is>
      </c>
      <c r="D18" s="5" t="inlineStr">
        <is>
          <t>Salary ÷ 30 × 21 ÷ 12</t>
        </is>
      </c>
    </row>
    <row r="19" ht="30" customHeight="1">
      <c r="A19" s="2" t="inlineStr">
        <is>
          <t>Field travel allowance</t>
        </is>
      </c>
      <c r="B19" s="11">
        <f>IF(B2="Field / non-administrative",B10,0)</f>
        <v/>
      </c>
      <c r="C19" s="4" t="inlineStr">
        <is>
          <t>بدل التنقل الميداني</t>
        </is>
      </c>
      <c r="D19" s="5" t="inlineStr">
        <is>
          <t>Only for field roles</t>
        </is>
      </c>
    </row>
    <row r="20" ht="30" customHeight="1">
      <c r="A20" s="12" t="inlineStr">
        <is>
          <t>Total full-time cost per month</t>
        </is>
      </c>
      <c r="B20" s="13">
        <f>SUM(B14:B19)</f>
        <v/>
      </c>
      <c r="C20" s="14" t="inlineStr">
        <is>
          <t>إجمالي التكلفة الشهرية بدوام كامل</t>
        </is>
      </c>
      <c r="D20" s="15" t="inlineStr"/>
    </row>
    <row r="22">
      <c r="A22" s="9" t="inlineStr">
        <is>
          <t>This client assignment</t>
        </is>
      </c>
      <c r="C22" s="10" t="inlineStr">
        <is>
          <t>إسناد هذا العميل</t>
        </is>
      </c>
    </row>
    <row r="23" ht="30" customHeight="1">
      <c r="A23" s="2" t="inlineStr">
        <is>
          <t>Share of a full-time month applied</t>
        </is>
      </c>
      <c r="B23" s="16">
        <f>IF(ISNUMBER(B5),MIN(1,B5/B6),B4/100)</f>
        <v/>
      </c>
      <c r="C23" s="4" t="inlineStr">
        <is>
          <t>النسبة المطبقة من الشهر الكامل</t>
        </is>
      </c>
      <c r="D23" s="5" t="inlineStr"/>
    </row>
    <row r="24" ht="30" customHeight="1">
      <c r="A24" s="2" t="inlineStr">
        <is>
          <t>Cost of this assignment per month</t>
        </is>
      </c>
      <c r="B24" s="11">
        <f>B20*B23</f>
        <v/>
      </c>
      <c r="C24" s="4" t="inlineStr">
        <is>
          <t>تكلفة هذا الإسناد شهرياً</t>
        </is>
      </c>
      <c r="D24" s="5" t="inlineStr"/>
    </row>
    <row r="25" ht="30" customHeight="1">
      <c r="A25" s="2" t="inlineStr">
        <is>
          <t>Our fee</t>
        </is>
      </c>
      <c r="B25" s="11">
        <f>B24*B11/100</f>
        <v/>
      </c>
      <c r="C25" s="4" t="inlineStr">
        <is>
          <t>رسمنا</t>
        </is>
      </c>
      <c r="D25" s="5" t="inlineStr">
        <is>
          <t>Cost × fee %</t>
        </is>
      </c>
    </row>
    <row r="26" ht="30" customHeight="1">
      <c r="A26" s="12" t="inlineStr">
        <is>
          <t>Monthly price excl. VAT</t>
        </is>
      </c>
      <c r="B26" s="13">
        <f>MROUND(B24+B25,10)</f>
        <v/>
      </c>
      <c r="C26" s="14" t="inlineStr">
        <is>
          <t>السعر الشهري قبل الضريبة</t>
        </is>
      </c>
      <c r="D26" s="15" t="inlineStr">
        <is>
          <t>Rounded to the nearest 10</t>
        </is>
      </c>
    </row>
    <row r="27" ht="30" customHeight="1">
      <c r="A27" s="2" t="inlineStr">
        <is>
          <t>VAT 15%</t>
        </is>
      </c>
      <c r="B27" s="11">
        <f>B26*0.15</f>
        <v/>
      </c>
      <c r="C27" s="4" t="inlineStr">
        <is>
          <t>ضريبة القيمة المضافة 15%</t>
        </is>
      </c>
      <c r="D27" s="5" t="inlineStr"/>
    </row>
    <row r="28" ht="30" customHeight="1">
      <c r="A28" s="12" t="inlineStr">
        <is>
          <t>Monthly price incl. VAT</t>
        </is>
      </c>
      <c r="B28" s="13">
        <f>B26+B27</f>
        <v/>
      </c>
      <c r="C28" s="14" t="inlineStr">
        <is>
          <t>السعر الشهري شامل الضريبة</t>
        </is>
      </c>
      <c r="D28" s="15" t="inlineStr"/>
    </row>
    <row r="29" ht="30" customHeight="1">
      <c r="A29" s="2" t="inlineStr">
        <is>
          <t>Total for the term excl. VAT</t>
        </is>
      </c>
      <c r="B29" s="11">
        <f>B26*B7</f>
        <v/>
      </c>
      <c r="C29" s="4" t="inlineStr">
        <is>
          <t>الإجمالي للمدة قبل الضريبة</t>
        </is>
      </c>
      <c r="D29" s="5" t="inlineStr"/>
    </row>
    <row r="30" ht="44" customHeight="1">
      <c r="A30" s="2" t="inlineStr">
        <is>
          <t>Counts in Nitaqat for the client (indicative)</t>
        </is>
      </c>
      <c r="B30" s="17">
        <f>IF(B23&gt;=0.99,"1 Saudi",IF(B23&gt;0,"0.5 Saudi if a real part-time contract is registered","—"))</f>
        <v/>
      </c>
      <c r="C30" s="4" t="inlineStr">
        <is>
          <t>الاحتساب في نطاقات للعميل (استرشادي)</t>
        </is>
      </c>
      <c r="D30" s="5" t="inlineStr">
        <is>
          <t>Depends on the legal structure — to be confirmed</t>
        </is>
      </c>
    </row>
  </sheetData>
  <mergeCells count="1">
    <mergeCell ref="A1:D1"/>
  </mergeCells>
  <dataValidations count="2">
    <dataValidation sqref="B2" showDropDown="0" showInputMessage="0" showErrorMessage="0" allowBlank="0" type="list">
      <formula1>"Human resources,Accounting,Marketing,Sales,Purchasing,Administrative support,Field / non-administrative,Engineering,Project management"</formula1>
    </dataValidation>
    <dataValidation sqref="B3" showDropDown="0" showInputMessage="0" showErrorMessage="0" allowBlank="0" type="decimal" operator="greaterThanOrEqual">
      <formula1>6000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10" customWidth="1" min="4" max="4"/>
    <col width="10" customWidth="1" min="5" max="5"/>
    <col width="14" customWidth="1" min="6" max="6"/>
    <col width="18" customWidth="1" min="7" max="7"/>
    <col width="18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6" customWidth="1" min="14" max="14"/>
    <col width="18" customWidth="1" min="15" max="15"/>
  </cols>
  <sheetData>
    <row r="1" ht="34" customHeight="1">
      <c r="A1" s="1" t="inlineStr">
        <is>
          <t>INTERNAL — Rate card: hourly price of a Saudi employee by role and utilisation   |   بطاقة الأسعار: سعر ساعة الموظف السعودي بحسب الوظيفة ونسبة الإشغال</t>
        </is>
      </c>
    </row>
    <row r="3">
      <c r="A3" s="22" t="inlineStr">
        <is>
          <t>Hours in a full-time month (days per week × hours per day × 52 ÷ 12)</t>
        </is>
      </c>
      <c r="B3" s="23">
        <f>E3*E4*52/12</f>
        <v/>
      </c>
      <c r="D3" s="22" t="inlineStr">
        <is>
          <t>Working days per week</t>
        </is>
      </c>
      <c r="E3" s="24" t="n">
        <v>5</v>
      </c>
    </row>
    <row r="4">
      <c r="A4" s="22" t="inlineStr">
        <is>
          <t>Employer social insurance rate on basic + housing (%)</t>
        </is>
      </c>
      <c r="B4" s="25" t="n">
        <v>11.75</v>
      </c>
      <c r="D4" s="22" t="inlineStr">
        <is>
          <t>Hours per day</t>
        </is>
      </c>
      <c r="E4" s="24" t="n">
        <v>8</v>
      </c>
    </row>
    <row r="5">
      <c r="A5" s="22" t="inlineStr">
        <is>
          <t>Medical insurance per year (SAR)</t>
        </is>
      </c>
      <c r="B5" s="26" t="n">
        <v>600</v>
      </c>
      <c r="D5" s="22" t="inlineStr">
        <is>
          <t>Expected variable-pay achievement (%)</t>
        </is>
      </c>
      <c r="E5" s="24" t="n">
        <v>100</v>
      </c>
    </row>
    <row r="6">
      <c r="A6" s="22" t="inlineStr">
        <is>
          <t>Our fee on top of all costs (%)</t>
        </is>
      </c>
      <c r="B6" s="27" t="n">
        <v>15</v>
      </c>
    </row>
    <row r="7">
      <c r="A7" s="22" t="inlineStr">
        <is>
          <t>Expected billable utilisation if not stated per role (%)</t>
        </is>
      </c>
      <c r="B7" s="27" t="n">
        <v>70</v>
      </c>
    </row>
    <row r="8">
      <c r="A8" s="22" t="inlineStr">
        <is>
          <t>Mandatory development hours per month, not billable (training, courses, mentoring) — placeholder to confirm</t>
        </is>
      </c>
      <c r="B8" s="27" t="n">
        <v>8</v>
      </c>
    </row>
    <row r="9">
      <c r="A9" s="22" t="inlineStr">
        <is>
          <t>Training and development budget per year per employee (SAR) — placeholder to confirm</t>
        </is>
      </c>
      <c r="B9" s="26" t="n">
        <v>3000</v>
      </c>
    </row>
    <row r="11" ht="62" customHeight="1">
      <c r="A11" s="28" t="inlineStr">
        <is>
          <t>Role</t>
        </is>
      </c>
      <c r="B11" s="28" t="inlineStr">
        <is>
          <t>Job nature</t>
        </is>
      </c>
      <c r="C11" s="28" t="inlineStr">
        <is>
          <t>Guaranteed package per month (SAR) = higher of 6,000 and the Ministry minimum</t>
        </is>
      </c>
      <c r="D11" s="28" t="inlineStr">
        <is>
          <t>Basic %</t>
        </is>
      </c>
      <c r="E11" s="28" t="inlineStr">
        <is>
          <t>Housing %</t>
        </is>
      </c>
      <c r="F11" s="28" t="inlineStr">
        <is>
          <t>Transport and other %</t>
        </is>
      </c>
      <c r="G11" s="28" t="inlineStr">
        <is>
          <t>Variable pay target at 100% KPI per month (SAR)</t>
        </is>
      </c>
      <c r="H11" s="28" t="inlineStr">
        <is>
          <t>Field travel allowance per month (SAR)</t>
        </is>
      </c>
      <c r="I11" s="28" t="inlineStr">
        <is>
          <t>Billable utilisation %</t>
        </is>
      </c>
      <c r="J11" s="28" t="inlineStr">
        <is>
          <t>Full-time monthly cost incl. training</t>
        </is>
      </c>
      <c r="K11" s="28" t="inlineStr">
        <is>
          <t>Billable hours per month (after development hours)</t>
        </is>
      </c>
      <c r="L11" s="28" t="inlineStr">
        <is>
          <t>Cost per hour</t>
        </is>
      </c>
      <c r="M11" s="28" t="inlineStr">
        <is>
          <t>Rate per hour excl. VAT</t>
        </is>
      </c>
      <c r="N11" s="28" t="inlineStr">
        <is>
          <t>Actual utilisation at which revenue only covers cost %</t>
        </is>
      </c>
      <c r="O11" s="28" t="inlineStr">
        <is>
          <t>Ministry minimum Saudi salary for the profession (SAR)</t>
        </is>
      </c>
    </row>
    <row r="12">
      <c r="A12" s="29" t="inlineStr">
        <is>
          <t>Human resources</t>
        </is>
      </c>
      <c r="B12" s="29" t="inlineStr">
        <is>
          <t>Fixed + efficiency KPI</t>
        </is>
      </c>
      <c r="C12" s="30">
        <f>MAX(6000,O12)</f>
        <v/>
      </c>
      <c r="D12" s="31" t="n">
        <v>60</v>
      </c>
      <c r="E12" s="31" t="n">
        <v>25</v>
      </c>
      <c r="F12" s="31" t="n">
        <v>15</v>
      </c>
      <c r="G12" s="31" t="n">
        <v>0</v>
      </c>
      <c r="H12" s="31" t="n">
        <v>0</v>
      </c>
      <c r="I12" s="31" t="n">
        <v>70</v>
      </c>
      <c r="J12" s="32">
        <f>C12+(C12*(D12+E12)/100*$B$4/100)+$B$5/12+C12/24+C12/30*21/12+G12*$E$5/100+H12+$B$9/12</f>
        <v/>
      </c>
      <c r="K12" s="33">
        <f>MAX(0,$B$3-$B$8)*I12/100</f>
        <v/>
      </c>
      <c r="L12" s="32">
        <f>J12/K12</f>
        <v/>
      </c>
      <c r="M12" s="34">
        <f>MROUND(L12*(1+$B$6/100),1)</f>
        <v/>
      </c>
      <c r="N12" s="33">
        <f>I12/(1+$B$6/100)</f>
        <v/>
      </c>
      <c r="O12" s="31" t="n">
        <v>0</v>
      </c>
    </row>
    <row r="13">
      <c r="A13" s="29" t="inlineStr">
        <is>
          <t>Accounting</t>
        </is>
      </c>
      <c r="B13" s="29" t="inlineStr">
        <is>
          <t>Administrative</t>
        </is>
      </c>
      <c r="C13" s="30">
        <f>MAX(6000,O13)</f>
        <v/>
      </c>
      <c r="D13" s="31" t="n">
        <v>60</v>
      </c>
      <c r="E13" s="31" t="n">
        <v>25</v>
      </c>
      <c r="F13" s="31" t="n">
        <v>15</v>
      </c>
      <c r="G13" s="31" t="n">
        <v>0</v>
      </c>
      <c r="H13" s="31" t="n">
        <v>0</v>
      </c>
      <c r="I13" s="31" t="n">
        <v>70</v>
      </c>
      <c r="J13" s="32">
        <f>C13+(C13*(D13+E13)/100*$B$4/100)+$B$5/12+C13/24+C13/30*21/12+G13*$E$5/100+H13+$B$9/12</f>
        <v/>
      </c>
      <c r="K13" s="33">
        <f>MAX(0,$B$3-$B$8)*I13/100</f>
        <v/>
      </c>
      <c r="L13" s="32">
        <f>J13/K13</f>
        <v/>
      </c>
      <c r="M13" s="34">
        <f>MROUND(L13*(1+$B$6/100),1)</f>
        <v/>
      </c>
      <c r="N13" s="33">
        <f>I13/(1+$B$6/100)</f>
        <v/>
      </c>
      <c r="O13" s="31" t="n">
        <v>6000</v>
      </c>
    </row>
    <row r="14">
      <c r="A14" s="29" t="inlineStr">
        <is>
          <t>Marketing</t>
        </is>
      </c>
      <c r="B14" s="29" t="inlineStr">
        <is>
          <t>Fixed + KPI</t>
        </is>
      </c>
      <c r="C14" s="30">
        <f>MAX(6000,O14)</f>
        <v/>
      </c>
      <c r="D14" s="31" t="n">
        <v>60</v>
      </c>
      <c r="E14" s="31" t="n">
        <v>25</v>
      </c>
      <c r="F14" s="31" t="n">
        <v>15</v>
      </c>
      <c r="G14" s="31" t="n">
        <v>0</v>
      </c>
      <c r="H14" s="31" t="n">
        <v>0</v>
      </c>
      <c r="I14" s="31" t="n">
        <v>70</v>
      </c>
      <c r="J14" s="32">
        <f>C14+(C14*(D14+E14)/100*$B$4/100)+$B$5/12+C14/24+C14/30*21/12+G14*$E$5/100+H14+$B$9/12</f>
        <v/>
      </c>
      <c r="K14" s="33">
        <f>MAX(0,$B$3-$B$8)*I14/100</f>
        <v/>
      </c>
      <c r="L14" s="32">
        <f>J14/K14</f>
        <v/>
      </c>
      <c r="M14" s="34">
        <f>MROUND(L14*(1+$B$6/100),1)</f>
        <v/>
      </c>
      <c r="N14" s="33">
        <f>I14/(1+$B$6/100)</f>
        <v/>
      </c>
      <c r="O14" s="31" t="n">
        <v>5500</v>
      </c>
    </row>
    <row r="15">
      <c r="A15" s="29" t="inlineStr">
        <is>
          <t>Sales</t>
        </is>
      </c>
      <c r="B15" s="29" t="inlineStr">
        <is>
          <t>Fixed + commission on sales growth</t>
        </is>
      </c>
      <c r="C15" s="30">
        <f>MAX(6000,O15)</f>
        <v/>
      </c>
      <c r="D15" s="31" t="n">
        <v>60</v>
      </c>
      <c r="E15" s="31" t="n">
        <v>25</v>
      </c>
      <c r="F15" s="31" t="n">
        <v>15</v>
      </c>
      <c r="G15" s="31" t="n">
        <v>0</v>
      </c>
      <c r="H15" s="31" t="n">
        <v>0</v>
      </c>
      <c r="I15" s="31" t="n">
        <v>70</v>
      </c>
      <c r="J15" s="32">
        <f>C15+(C15*(D15+E15)/100*$B$4/100)+$B$5/12+C15/24+C15/30*21/12+G15*$E$5/100+H15+$B$9/12</f>
        <v/>
      </c>
      <c r="K15" s="33">
        <f>MAX(0,$B$3-$B$8)*I15/100</f>
        <v/>
      </c>
      <c r="L15" s="32">
        <f>J15/K15</f>
        <v/>
      </c>
      <c r="M15" s="34">
        <f>MROUND(L15*(1+$B$6/100),1)</f>
        <v/>
      </c>
      <c r="N15" s="33">
        <f>I15/(1+$B$6/100)</f>
        <v/>
      </c>
      <c r="O15" s="31" t="n">
        <v>0</v>
      </c>
    </row>
    <row r="16">
      <c r="A16" s="29" t="inlineStr">
        <is>
          <t>Purchasing</t>
        </is>
      </c>
      <c r="B16" s="29" t="inlineStr">
        <is>
          <t>Fixed + savings and negotiation</t>
        </is>
      </c>
      <c r="C16" s="30">
        <f>MAX(6000,O16)</f>
        <v/>
      </c>
      <c r="D16" s="31" t="n">
        <v>60</v>
      </c>
      <c r="E16" s="31" t="n">
        <v>25</v>
      </c>
      <c r="F16" s="31" t="n">
        <v>15</v>
      </c>
      <c r="G16" s="31" t="n">
        <v>0</v>
      </c>
      <c r="H16" s="31" t="n">
        <v>0</v>
      </c>
      <c r="I16" s="31" t="n">
        <v>70</v>
      </c>
      <c r="J16" s="32">
        <f>C16+(C16*(D16+E16)/100*$B$4/100)+$B$5/12+C16/24+C16/30*21/12+G16*$E$5/100+H16+$B$9/12</f>
        <v/>
      </c>
      <c r="K16" s="33">
        <f>MAX(0,$B$3-$B$8)*I16/100</f>
        <v/>
      </c>
      <c r="L16" s="32">
        <f>J16/K16</f>
        <v/>
      </c>
      <c r="M16" s="34">
        <f>MROUND(L16*(1+$B$6/100),1)</f>
        <v/>
      </c>
      <c r="N16" s="33">
        <f>I16/(1+$B$6/100)</f>
        <v/>
      </c>
      <c r="O16" s="31" t="n">
        <v>0</v>
      </c>
    </row>
    <row r="17">
      <c r="A17" s="29" t="inlineStr">
        <is>
          <t>Administrative support</t>
        </is>
      </c>
      <c r="B17" s="29" t="inlineStr">
        <is>
          <t>Administrative</t>
        </is>
      </c>
      <c r="C17" s="30">
        <f>MAX(6000,O17)</f>
        <v/>
      </c>
      <c r="D17" s="31" t="n">
        <v>60</v>
      </c>
      <c r="E17" s="31" t="n">
        <v>25</v>
      </c>
      <c r="F17" s="31" t="n">
        <v>15</v>
      </c>
      <c r="G17" s="31" t="n">
        <v>0</v>
      </c>
      <c r="H17" s="31" t="n">
        <v>0</v>
      </c>
      <c r="I17" s="31" t="n">
        <v>70</v>
      </c>
      <c r="J17" s="32">
        <f>C17+(C17*(D17+E17)/100*$B$4/100)+$B$5/12+C17/24+C17/30*21/12+G17*$E$5/100+H17+$B$9/12</f>
        <v/>
      </c>
      <c r="K17" s="33">
        <f>MAX(0,$B$3-$B$8)*I17/100</f>
        <v/>
      </c>
      <c r="L17" s="32">
        <f>J17/K17</f>
        <v/>
      </c>
      <c r="M17" s="34">
        <f>MROUND(L17*(1+$B$6/100),1)</f>
        <v/>
      </c>
      <c r="N17" s="33">
        <f>I17/(1+$B$6/100)</f>
        <v/>
      </c>
      <c r="O17" s="31" t="n">
        <v>0</v>
      </c>
    </row>
    <row r="18">
      <c r="A18" s="29" t="inlineStr">
        <is>
          <t>Field / non-administrative</t>
        </is>
      </c>
      <c r="B18" s="29" t="inlineStr">
        <is>
          <t>Field</t>
        </is>
      </c>
      <c r="C18" s="30">
        <f>MAX(6000,O18)</f>
        <v/>
      </c>
      <c r="D18" s="31" t="n">
        <v>60</v>
      </c>
      <c r="E18" s="31" t="n">
        <v>25</v>
      </c>
      <c r="F18" s="31" t="n">
        <v>15</v>
      </c>
      <c r="G18" s="31" t="n">
        <v>0</v>
      </c>
      <c r="H18" s="31" t="n">
        <v>0</v>
      </c>
      <c r="I18" s="31" t="n">
        <v>70</v>
      </c>
      <c r="J18" s="32">
        <f>C18+(C18*(D18+E18)/100*$B$4/100)+$B$5/12+C18/24+C18/30*21/12+G18*$E$5/100+H18+$B$9/12</f>
        <v/>
      </c>
      <c r="K18" s="33">
        <f>MAX(0,$B$3-$B$8)*I18/100</f>
        <v/>
      </c>
      <c r="L18" s="32">
        <f>J18/K18</f>
        <v/>
      </c>
      <c r="M18" s="34">
        <f>MROUND(L18*(1+$B$6/100),1)</f>
        <v/>
      </c>
      <c r="N18" s="33">
        <f>I18/(1+$B$6/100)</f>
        <v/>
      </c>
      <c r="O18" s="31" t="n">
        <v>0</v>
      </c>
    </row>
    <row r="19">
      <c r="A19" s="29" t="inlineStr">
        <is>
          <t>Engineering</t>
        </is>
      </c>
      <c r="B19" s="29" t="inlineStr">
        <is>
          <t>Fixed + project KPI</t>
        </is>
      </c>
      <c r="C19" s="30">
        <f>MAX(6000,O19)</f>
        <v/>
      </c>
      <c r="D19" s="31" t="n">
        <v>60</v>
      </c>
      <c r="E19" s="31" t="n">
        <v>25</v>
      </c>
      <c r="F19" s="31" t="n">
        <v>15</v>
      </c>
      <c r="G19" s="31" t="n">
        <v>0</v>
      </c>
      <c r="H19" s="31" t="n">
        <v>0</v>
      </c>
      <c r="I19" s="31" t="n">
        <v>70</v>
      </c>
      <c r="J19" s="32">
        <f>C19+(C19*(D19+E19)/100*$B$4/100)+$B$5/12+C19/24+C19/30*21/12+G19*$E$5/100+H19+$B$9/12</f>
        <v/>
      </c>
      <c r="K19" s="33">
        <f>MAX(0,$B$3-$B$8)*I19/100</f>
        <v/>
      </c>
      <c r="L19" s="32">
        <f>J19/K19</f>
        <v/>
      </c>
      <c r="M19" s="34">
        <f>MROUND(L19*(1+$B$6/100),1)</f>
        <v/>
      </c>
      <c r="N19" s="33">
        <f>I19/(1+$B$6/100)</f>
        <v/>
      </c>
      <c r="O19" s="31" t="n">
        <v>8000</v>
      </c>
    </row>
    <row r="20">
      <c r="A20" s="29" t="inlineStr">
        <is>
          <t>Project management</t>
        </is>
      </c>
      <c r="B20" s="29" t="inlineStr">
        <is>
          <t>Fixed + milestones</t>
        </is>
      </c>
      <c r="C20" s="30">
        <f>MAX(6000,O20)</f>
        <v/>
      </c>
      <c r="D20" s="31" t="n">
        <v>60</v>
      </c>
      <c r="E20" s="31" t="n">
        <v>25</v>
      </c>
      <c r="F20" s="31" t="n">
        <v>15</v>
      </c>
      <c r="G20" s="31" t="n">
        <v>0</v>
      </c>
      <c r="H20" s="31" t="n">
        <v>0</v>
      </c>
      <c r="I20" s="31" t="n">
        <v>70</v>
      </c>
      <c r="J20" s="32">
        <f>C20+(C20*(D20+E20)/100*$B$4/100)+$B$5/12+C20/24+C20/30*21/12+G20*$E$5/100+H20+$B$9/12</f>
        <v/>
      </c>
      <c r="K20" s="33">
        <f>MAX(0,$B$3-$B$8)*I20/100</f>
        <v/>
      </c>
      <c r="L20" s="32">
        <f>J20/K20</f>
        <v/>
      </c>
      <c r="M20" s="34">
        <f>MROUND(L20*(1+$B$6/100),1)</f>
        <v/>
      </c>
      <c r="N20" s="33">
        <f>I20/(1+$B$6/100)</f>
        <v/>
      </c>
      <c r="O20" s="31" t="n">
        <v>6000</v>
      </c>
    </row>
    <row r="22">
      <c r="A22" s="35" t="inlineStr">
        <is>
          <t>How the rate is built</t>
        </is>
      </c>
    </row>
    <row r="23">
      <c r="A23" s="21" t="inlineStr">
        <is>
          <t>Full-time monthly cost = guaranteed package + employer social insurance on basic and housing + medical + end of service (package ÷ 24) + leave pay (21 days) + variable pay target + field travel allowance + training budget ÷ 12.</t>
        </is>
      </c>
    </row>
    <row r="24">
      <c r="A24" s="21" t="inlineStr">
        <is>
          <t>Billable hours = (hours in a full-time month − development hours) × billable utilisation. Cost per hour = full-time cost ÷ productive hours. Rate per hour = cost per hour + our fee.</t>
        </is>
      </c>
    </row>
    <row r="25">
      <c r="A25" s="21" t="inlineStr">
        <is>
          <t>Lower utilisation means fewer billable hours to carry the same cost, so the hourly rate rises. If the real utilisation falls to the last column, revenue only covers cost: that is the floor to watch.</t>
        </is>
      </c>
    </row>
    <row r="26">
      <c r="A26" s="21" t="inlineStr">
        <is>
          <t>Training: every employee has mandatory development hours each month and a yearly training budget; both are inside the rate, so the client buys a Saudi employee who is being trained, certified and prepared for the market, not only hours.</t>
        </is>
      </c>
    </row>
    <row r="27">
      <c r="A27" s="21" t="inlineStr">
        <is>
          <t>Package: 20 hours, 40 hours and 80 hours a month are shown on the sheet "Hour packages".</t>
        </is>
      </c>
    </row>
    <row r="28">
      <c r="A28" s="21" t="inlineStr">
        <is>
          <t>Guaranteed package = the higher of SAR 6,000 and the Ministry minimum Saudi salary for the profession (column O). Variable pay is on top of the package, never inside it: sales growth for sales, lower cost and better negotiation for purchasing, operational efficiency for human resources, and the KPI of each role.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4" customWidth="1" min="8" max="8"/>
  </cols>
  <sheetData>
    <row r="1">
      <c r="A1" s="36" t="inlineStr">
        <is>
          <t>INTERNAL — Monthly price by hours assigned   |   السعر الشهري بحسب الساعات المسندة</t>
        </is>
      </c>
    </row>
    <row r="3" ht="48" customHeight="1">
      <c r="A3" s="37" t="inlineStr">
        <is>
          <t>Role</t>
        </is>
      </c>
      <c r="B3" s="37" t="inlineStr">
        <is>
          <t>Rate per hour</t>
        </is>
      </c>
      <c r="C3" s="37" t="inlineStr">
        <is>
          <t>20 hours</t>
        </is>
      </c>
      <c r="D3" s="37" t="inlineStr">
        <is>
          <t>40 hours</t>
        </is>
      </c>
      <c r="E3" s="37" t="inlineStr">
        <is>
          <t>80 hours</t>
        </is>
      </c>
      <c r="F3" s="37" t="inlineStr">
        <is>
          <t>120 hours</t>
        </is>
      </c>
      <c r="G3" s="37" t="inlineStr">
        <is>
          <t>Full-time price (173.33 h at 100%)</t>
        </is>
      </c>
      <c r="H3" s="37" t="inlineStr">
        <is>
          <t>Hours at which a package equals the full-time cost</t>
        </is>
      </c>
    </row>
    <row r="4">
      <c r="A4" s="29">
        <f>'Rate card'!A12</f>
        <v/>
      </c>
      <c r="B4" s="38">
        <f>'Rate card'!M12</f>
        <v/>
      </c>
      <c r="C4" s="38">
        <f>B4*20</f>
        <v/>
      </c>
      <c r="D4" s="38">
        <f>B4*40</f>
        <v/>
      </c>
      <c r="E4" s="38">
        <f>B4*80</f>
        <v/>
      </c>
      <c r="F4" s="38">
        <f>B4*120</f>
        <v/>
      </c>
      <c r="G4" s="38">
        <f>MROUND('Rate card'!J12*(1+'Rate card'!$B$6/100),10)</f>
        <v/>
      </c>
      <c r="H4" s="39">
        <f>G4/B4</f>
        <v/>
      </c>
    </row>
    <row r="5">
      <c r="A5" s="29">
        <f>'Rate card'!A13</f>
        <v/>
      </c>
      <c r="B5" s="38">
        <f>'Rate card'!M13</f>
        <v/>
      </c>
      <c r="C5" s="38">
        <f>B5*20</f>
        <v/>
      </c>
      <c r="D5" s="38">
        <f>B5*40</f>
        <v/>
      </c>
      <c r="E5" s="38">
        <f>B5*80</f>
        <v/>
      </c>
      <c r="F5" s="38">
        <f>B5*120</f>
        <v/>
      </c>
      <c r="G5" s="38">
        <f>MROUND('Rate card'!J13*(1+'Rate card'!$B$6/100),10)</f>
        <v/>
      </c>
      <c r="H5" s="39">
        <f>G5/B5</f>
        <v/>
      </c>
    </row>
    <row r="6">
      <c r="A6" s="29">
        <f>'Rate card'!A14</f>
        <v/>
      </c>
      <c r="B6" s="38">
        <f>'Rate card'!M14</f>
        <v/>
      </c>
      <c r="C6" s="38">
        <f>B6*20</f>
        <v/>
      </c>
      <c r="D6" s="38">
        <f>B6*40</f>
        <v/>
      </c>
      <c r="E6" s="38">
        <f>B6*80</f>
        <v/>
      </c>
      <c r="F6" s="38">
        <f>B6*120</f>
        <v/>
      </c>
      <c r="G6" s="38">
        <f>MROUND('Rate card'!J14*(1+'Rate card'!$B$6/100),10)</f>
        <v/>
      </c>
      <c r="H6" s="39">
        <f>G6/B6</f>
        <v/>
      </c>
    </row>
    <row r="7">
      <c r="A7" s="29">
        <f>'Rate card'!A15</f>
        <v/>
      </c>
      <c r="B7" s="38">
        <f>'Rate card'!M15</f>
        <v/>
      </c>
      <c r="C7" s="38">
        <f>B7*20</f>
        <v/>
      </c>
      <c r="D7" s="38">
        <f>B7*40</f>
        <v/>
      </c>
      <c r="E7" s="38">
        <f>B7*80</f>
        <v/>
      </c>
      <c r="F7" s="38">
        <f>B7*120</f>
        <v/>
      </c>
      <c r="G7" s="38">
        <f>MROUND('Rate card'!J15*(1+'Rate card'!$B$6/100),10)</f>
        <v/>
      </c>
      <c r="H7" s="39">
        <f>G7/B7</f>
        <v/>
      </c>
    </row>
    <row r="8">
      <c r="A8" s="29">
        <f>'Rate card'!A16</f>
        <v/>
      </c>
      <c r="B8" s="38">
        <f>'Rate card'!M16</f>
        <v/>
      </c>
      <c r="C8" s="38">
        <f>B8*20</f>
        <v/>
      </c>
      <c r="D8" s="38">
        <f>B8*40</f>
        <v/>
      </c>
      <c r="E8" s="38">
        <f>B8*80</f>
        <v/>
      </c>
      <c r="F8" s="38">
        <f>B8*120</f>
        <v/>
      </c>
      <c r="G8" s="38">
        <f>MROUND('Rate card'!J16*(1+'Rate card'!$B$6/100),10)</f>
        <v/>
      </c>
      <c r="H8" s="39">
        <f>G8/B8</f>
        <v/>
      </c>
    </row>
    <row r="9">
      <c r="A9" s="29">
        <f>'Rate card'!A17</f>
        <v/>
      </c>
      <c r="B9" s="38">
        <f>'Rate card'!M17</f>
        <v/>
      </c>
      <c r="C9" s="38">
        <f>B9*20</f>
        <v/>
      </c>
      <c r="D9" s="38">
        <f>B9*40</f>
        <v/>
      </c>
      <c r="E9" s="38">
        <f>B9*80</f>
        <v/>
      </c>
      <c r="F9" s="38">
        <f>B9*120</f>
        <v/>
      </c>
      <c r="G9" s="38">
        <f>MROUND('Rate card'!J17*(1+'Rate card'!$B$6/100),10)</f>
        <v/>
      </c>
      <c r="H9" s="39">
        <f>G9/B9</f>
        <v/>
      </c>
    </row>
    <row r="10">
      <c r="A10" s="29">
        <f>'Rate card'!A18</f>
        <v/>
      </c>
      <c r="B10" s="38">
        <f>'Rate card'!M18</f>
        <v/>
      </c>
      <c r="C10" s="38">
        <f>B10*20</f>
        <v/>
      </c>
      <c r="D10" s="38">
        <f>B10*40</f>
        <v/>
      </c>
      <c r="E10" s="38">
        <f>B10*80</f>
        <v/>
      </c>
      <c r="F10" s="38">
        <f>B10*120</f>
        <v/>
      </c>
      <c r="G10" s="38">
        <f>MROUND('Rate card'!J18*(1+'Rate card'!$B$6/100),10)</f>
        <v/>
      </c>
      <c r="H10" s="39">
        <f>G10/B10</f>
        <v/>
      </c>
    </row>
    <row r="11">
      <c r="A11" s="29">
        <f>'Rate card'!A19</f>
        <v/>
      </c>
      <c r="B11" s="38">
        <f>'Rate card'!M19</f>
        <v/>
      </c>
      <c r="C11" s="38">
        <f>B11*20</f>
        <v/>
      </c>
      <c r="D11" s="38">
        <f>B11*40</f>
        <v/>
      </c>
      <c r="E11" s="38">
        <f>B11*80</f>
        <v/>
      </c>
      <c r="F11" s="38">
        <f>B11*120</f>
        <v/>
      </c>
      <c r="G11" s="38">
        <f>MROUND('Rate card'!J19*(1+'Rate card'!$B$6/100),10)</f>
        <v/>
      </c>
      <c r="H11" s="39">
        <f>G11/B11</f>
        <v/>
      </c>
    </row>
    <row r="12">
      <c r="A12" s="29">
        <f>'Rate card'!A20</f>
        <v/>
      </c>
      <c r="B12" s="38">
        <f>'Rate card'!M20</f>
        <v/>
      </c>
      <c r="C12" s="38">
        <f>B12*20</f>
        <v/>
      </c>
      <c r="D12" s="38">
        <f>B12*40</f>
        <v/>
      </c>
      <c r="E12" s="38">
        <f>B12*80</f>
        <v/>
      </c>
      <c r="F12" s="38">
        <f>B12*120</f>
        <v/>
      </c>
      <c r="G12" s="38">
        <f>MROUND('Rate card'!J20*(1+'Rate card'!$B$6/100),10)</f>
        <v/>
      </c>
      <c r="H12" s="39">
        <f>G12/B12</f>
        <v/>
      </c>
    </row>
    <row r="14">
      <c r="A14" s="21" t="inlineStr">
        <is>
          <t>Prices exclude VAT (15%). The rate per hour comes from the "Rate card" sheet and moves with the utilisation target of each role.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6" customWidth="1" min="3" max="3"/>
    <col width="28" customWidth="1" min="4" max="4"/>
    <col width="40" customWidth="1" min="5" max="5"/>
    <col width="52" customWidth="1" min="6" max="6"/>
  </cols>
  <sheetData>
    <row r="1">
      <c r="A1" s="36" t="inlineStr">
        <is>
          <t>INTERNAL — Pay structure by nature of work   |   هيكل الراتب بحسب طبيعة العمل</t>
        </is>
      </c>
    </row>
    <row r="3">
      <c r="A3" s="37" t="inlineStr">
        <is>
          <t>Job nature</t>
        </is>
      </c>
      <c r="B3" s="37" t="inlineStr">
        <is>
          <t>Fixed part (guaranteed)</t>
        </is>
      </c>
      <c r="C3" s="37" t="inlineStr">
        <is>
          <t>Allowances</t>
        </is>
      </c>
      <c r="D3" s="37" t="inlineStr">
        <is>
          <t>Variable part</t>
        </is>
      </c>
      <c r="E3" s="37" t="inlineStr">
        <is>
          <t>Performance measure (KPI)</t>
        </is>
      </c>
      <c r="F3" s="37" t="inlineStr">
        <is>
          <t>Notes</t>
        </is>
      </c>
    </row>
    <row r="4" ht="62" customHeight="1">
      <c r="A4" s="40" t="inlineStr">
        <is>
          <t>Administrative (HR, accounting, administrative support)</t>
        </is>
      </c>
      <c r="B4" s="40" t="inlineStr">
        <is>
          <t>Basic salary + housing</t>
        </is>
      </c>
      <c r="C4" s="40" t="inlineStr">
        <is>
          <t>Transport</t>
        </is>
      </c>
      <c r="D4" s="40" t="inlineStr">
        <is>
          <t>None, or a quarterly bonus</t>
        </is>
      </c>
      <c r="E4" s="40" t="inlineStr">
        <is>
          <t>Timely delivery, accuracy, client satisfaction</t>
        </is>
      </c>
      <c r="F4" s="40" t="inlineStr">
        <is>
          <t>Fixed package; the hourly rate carries the cost.</t>
        </is>
      </c>
    </row>
    <row r="5" ht="62" customHeight="1">
      <c r="A5" s="40" t="inlineStr">
        <is>
          <t>Human resources</t>
        </is>
      </c>
      <c r="B5" s="40" t="inlineStr">
        <is>
          <t>Basic salary + housing</t>
        </is>
      </c>
      <c r="C5" s="40" t="inlineStr">
        <is>
          <t>Transport</t>
        </is>
      </c>
      <c r="D5" s="40" t="inlineStr">
        <is>
          <t>Variable pay on top of the guaranteed package</t>
        </is>
      </c>
      <c r="E5" s="40" t="inlineStr">
        <is>
          <t>Operational efficiency of the client staff (turnover, time to hire, compliance)</t>
        </is>
      </c>
      <c r="F5" s="40" t="inlineStr">
        <is>
          <t>Variable pay is on top, not inside the guaranteed package.</t>
        </is>
      </c>
    </row>
    <row r="6" ht="62" customHeight="1">
      <c r="A6" s="40" t="inlineStr">
        <is>
          <t>Marketing</t>
        </is>
      </c>
      <c r="B6" s="40" t="inlineStr">
        <is>
          <t>Basic salary + housing</t>
        </is>
      </c>
      <c r="C6" s="40" t="inlineStr">
        <is>
          <t>Transport</t>
        </is>
      </c>
      <c r="D6" s="40" t="inlineStr">
        <is>
          <t>Variable pay on top</t>
        </is>
      </c>
      <c r="E6" s="40" t="inlineStr">
        <is>
          <t>Campaign results and leads</t>
        </is>
      </c>
      <c r="F6" s="40" t="inlineStr">
        <is>
          <t>Variable pay is on top of the guaranteed package.</t>
        </is>
      </c>
    </row>
    <row r="7" ht="62" customHeight="1">
      <c r="A7" s="40" t="inlineStr">
        <is>
          <t>Purchasing</t>
        </is>
      </c>
      <c r="B7" s="40" t="inlineStr">
        <is>
          <t>Basic salary + housing</t>
        </is>
      </c>
      <c r="C7" s="40" t="inlineStr">
        <is>
          <t>Transport</t>
        </is>
      </c>
      <c r="D7" s="40" t="inlineStr">
        <is>
          <t>Variable pay on top</t>
        </is>
      </c>
      <c r="E7" s="40" t="inlineStr">
        <is>
          <t>Reduction of purchase cost, negotiation savings, supplier performance</t>
        </is>
      </c>
      <c r="F7" s="40" t="inlineStr">
        <is>
          <t>Variable pay is on top of the guaranteed package.</t>
        </is>
      </c>
    </row>
    <row r="8" ht="62" customHeight="1">
      <c r="A8" s="40" t="inlineStr">
        <is>
          <t>Sales</t>
        </is>
      </c>
      <c r="B8" s="40" t="inlineStr">
        <is>
          <t>Basic salary + housing (guaranteed ≥ 6,000 all-inclusive)</t>
        </is>
      </c>
      <c r="C8" s="40" t="inlineStr">
        <is>
          <t>Transport</t>
        </is>
      </c>
      <c r="D8" s="40" t="inlineStr">
        <is>
          <t>Commission on closed contracts</t>
        </is>
      </c>
      <c r="E8" s="40" t="inlineStr">
        <is>
          <t>Growth in sales volume: contracts closed and collected revenue</t>
        </is>
      </c>
      <c r="F8" s="40" t="inlineStr">
        <is>
          <t>Commission is on top of the guaranteed package; its expected value is included in the hourly rate (column G of the Rate card).</t>
        </is>
      </c>
    </row>
    <row r="9" ht="62" customHeight="1">
      <c r="A9" s="40" t="inlineStr">
        <is>
          <t>Field (non-administrative)</t>
        </is>
      </c>
      <c r="B9" s="40" t="inlineStr">
        <is>
          <t>Basic salary + housing</t>
        </is>
      </c>
      <c r="C9" s="40" t="inlineStr">
        <is>
          <t>Transport + field travel allowance</t>
        </is>
      </c>
      <c r="D9" s="40" t="inlineStr">
        <is>
          <t>Optional</t>
        </is>
      </c>
      <c r="E9" s="40" t="inlineStr">
        <is>
          <t>Visits completed, report quality</t>
        </is>
      </c>
      <c r="F9" s="40" t="inlineStr">
        <is>
          <t>Field travel allowance is charged only for field roles.</t>
        </is>
      </c>
    </row>
    <row r="10" ht="62" customHeight="1">
      <c r="A10" s="41" t="inlineStr">
        <is>
          <t>Rules that do not change: the guaranteed package is at least SAR 6,000 all-inclusive; every employee has a real contract, real work and registered social insurance; variable pay is never a substitute for the guaranteed package.</t>
        </is>
      </c>
      <c r="B10" s="40" t="inlineStr">
        <is>
          <t>Basic salary + housing</t>
        </is>
      </c>
      <c r="C10" s="40" t="inlineStr">
        <is>
          <t>Transport</t>
        </is>
      </c>
      <c r="D10" s="40" t="inlineStr">
        <is>
          <t>Milestone payment</t>
        </is>
      </c>
      <c r="E10" s="40" t="inlineStr">
        <is>
          <t>Milestones delivered on time and on scope</t>
        </is>
      </c>
      <c r="F10" s="40" t="inlineStr">
        <is>
          <t>Price by project with a fixed scope; the milestone payment is part of the project price.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4" customWidth="1" min="3" max="3"/>
    <col width="28" customWidth="1" min="4" max="4"/>
    <col width="26" customWidth="1" min="5" max="5"/>
  </cols>
  <sheetData>
    <row r="1">
      <c r="A1" s="36" t="inlineStr">
        <is>
          <t>INTERNAL — Development plan for every Saudi employee   |   خطة التطوير لكل موظف سعودي</t>
        </is>
      </c>
    </row>
    <row r="3">
      <c r="A3" s="37" t="inlineStr">
        <is>
          <t>Component</t>
        </is>
      </c>
      <c r="B3" s="37" t="inlineStr">
        <is>
          <t>What it is</t>
        </is>
      </c>
      <c r="C3" s="37" t="inlineStr">
        <is>
          <t>When</t>
        </is>
      </c>
      <c r="D3" s="37" t="inlineStr">
        <is>
          <t>Evidence kept</t>
        </is>
      </c>
      <c r="E3" s="37" t="inlineStr">
        <is>
          <t>Counts toward the monthly development hours</t>
        </is>
      </c>
    </row>
    <row r="4" ht="58" customHeight="1">
      <c r="A4" s="40" t="inlineStr">
        <is>
          <t>Onboarding and role standards</t>
        </is>
      </c>
      <c r="B4" s="40" t="inlineStr">
        <is>
          <t>Real job description, tools, client rules, confidentiality</t>
        </is>
      </c>
      <c r="C4" s="40" t="inlineStr">
        <is>
          <t>First month</t>
        </is>
      </c>
      <c r="D4" s="40" t="inlineStr">
        <is>
          <t>Signed job description</t>
        </is>
      </c>
      <c r="E4" s="40" t="inlineStr">
        <is>
          <t>Yes</t>
        </is>
      </c>
    </row>
    <row r="5" ht="58" customHeight="1">
      <c r="A5" s="40" t="inlineStr">
        <is>
          <t>Professional courses</t>
        </is>
      </c>
      <c r="B5" s="40" t="inlineStr">
        <is>
          <t>Courses and certificates matched to the role; accredited where the Ministry guide requires it (for example SOCPA for accounting)</t>
        </is>
      </c>
      <c r="C5" s="40" t="inlineStr">
        <is>
          <t>Every quarter, mandatory</t>
        </is>
      </c>
      <c r="D5" s="40" t="inlineStr">
        <is>
          <t>Certificate or attendance record</t>
        </is>
      </c>
      <c r="E5" s="40" t="inlineStr">
        <is>
          <t>Yes</t>
        </is>
      </c>
    </row>
    <row r="6" ht="58" customHeight="1">
      <c r="A6" s="40" t="inlineStr">
        <is>
          <t>Mentoring and supervision</t>
        </is>
      </c>
      <c r="B6" s="40" t="inlineStr">
        <is>
          <t>Weekly review with a senior manager, feedback on real deliverables</t>
        </is>
      </c>
      <c r="C6" s="40" t="inlineStr">
        <is>
          <t>Weekly</t>
        </is>
      </c>
      <c r="D6" s="40" t="inlineStr">
        <is>
          <t>Review notes</t>
        </is>
      </c>
      <c r="E6" s="40" t="inlineStr">
        <is>
          <t>Yes</t>
        </is>
      </c>
    </row>
    <row r="7" ht="58" customHeight="1">
      <c r="A7" s="40" t="inlineStr">
        <is>
          <t>Performance review</t>
        </is>
      </c>
      <c r="B7" s="40" t="inlineStr">
        <is>
          <t>KPIs by job nature (see Pay structure), reviewed monthly and quarterly</t>
        </is>
      </c>
      <c r="C7" s="40" t="inlineStr">
        <is>
          <t>Monthly and quarterly</t>
        </is>
      </c>
      <c r="D7" s="40" t="inlineStr">
        <is>
          <t>Scorecard</t>
        </is>
      </c>
      <c r="E7" s="40" t="inlineStr">
        <is>
          <t>Yes</t>
        </is>
      </c>
    </row>
    <row r="8" ht="58" customHeight="1">
      <c r="A8" s="40" t="inlineStr">
        <is>
          <t>Market readiness</t>
        </is>
      </c>
      <c r="B8" s="40" t="inlineStr">
        <is>
          <t>CV, interview skills, portfolio of delivered work, introductions to employers</t>
        </is>
      </c>
      <c r="C8" s="40" t="inlineStr">
        <is>
          <t>Ongoing</t>
        </is>
      </c>
      <c r="D8" s="40" t="inlineStr">
        <is>
          <t>Portfolio file</t>
        </is>
      </c>
      <c r="E8" s="40" t="inlineStr">
        <is>
          <t>Yes</t>
        </is>
      </c>
    </row>
    <row r="9" ht="58" customHeight="1">
      <c r="A9" s="40" t="inlineStr">
        <is>
          <t>Empowerment path (phase 2, postponed)</t>
        </is>
      </c>
      <c r="B9" s="40" t="inlineStr">
        <is>
          <t>Support to build ventures and introductions to incubators and funds</t>
        </is>
      </c>
      <c r="C9" s="40" t="inlineStr">
        <is>
          <t>Later</t>
        </is>
      </c>
      <c r="D9" s="40" t="inlineStr">
        <is>
          <t>Decision of the owner</t>
        </is>
      </c>
      <c r="E9" s="40" t="inlineStr">
        <is>
          <t>—</t>
        </is>
      </c>
    </row>
    <row r="11">
      <c r="A11" s="21" t="inlineStr">
        <is>
          <t>Integrity rules: every assignment has real work with a client deliverable, a timesheet and a signed scope; no employee is registered without actual work; training and work records are kept for each employee and can be shown to the Ministry.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18" customWidth="1" min="5" max="5"/>
  </cols>
  <sheetData>
    <row r="1">
      <c r="A1" s="18" t="inlineStr">
        <is>
          <t>Client / assignment</t>
        </is>
      </c>
      <c r="B1" s="18" t="inlineStr">
        <is>
          <t>Share of month %</t>
        </is>
      </c>
      <c r="C1" s="18" t="inlineStr">
        <is>
          <t>Price excl. VAT</t>
        </is>
      </c>
      <c r="D1" s="18" t="inlineStr">
        <is>
          <t>Cost</t>
        </is>
      </c>
      <c r="E1" s="18" t="inlineStr">
        <is>
          <t>Our fee</t>
        </is>
      </c>
    </row>
    <row r="2">
      <c r="A2" s="19" t="n"/>
      <c r="B2" s="19" t="n"/>
      <c r="C2" s="20">
        <f>IF(B2="","",MROUND(Pricing!$B$20*B2/100*(1+Pricing!$B$11/100),10))</f>
        <v/>
      </c>
      <c r="D2" s="20">
        <f>IF(B2="","",Pricing!$B$20*B2/100)</f>
        <v/>
      </c>
      <c r="E2" s="20">
        <f>IF(B2="","",C2-D2)</f>
        <v/>
      </c>
    </row>
    <row r="3">
      <c r="A3" s="19" t="n"/>
      <c r="B3" s="19" t="n"/>
      <c r="C3" s="20">
        <f>IF(B3="","",MROUND(Pricing!$B$20*B3/100*(1+Pricing!$B$11/100),10))</f>
        <v/>
      </c>
      <c r="D3" s="20">
        <f>IF(B3="","",Pricing!$B$20*B3/100)</f>
        <v/>
      </c>
      <c r="E3" s="20">
        <f>IF(B3="","",C3-D3)</f>
        <v/>
      </c>
    </row>
    <row r="4">
      <c r="A4" s="19" t="n"/>
      <c r="B4" s="19" t="n"/>
      <c r="C4" s="20">
        <f>IF(B4="","",MROUND(Pricing!$B$20*B4/100*(1+Pricing!$B$11/100),10))</f>
        <v/>
      </c>
      <c r="D4" s="20">
        <f>IF(B4="","",Pricing!$B$20*B4/100)</f>
        <v/>
      </c>
      <c r="E4" s="20">
        <f>IF(B4="","",C4-D4)</f>
        <v/>
      </c>
    </row>
    <row r="5">
      <c r="A5" s="19" t="n"/>
      <c r="B5" s="19" t="n"/>
      <c r="C5" s="20">
        <f>IF(B5="","",MROUND(Pricing!$B$20*B5/100*(1+Pricing!$B$11/100),10))</f>
        <v/>
      </c>
      <c r="D5" s="20">
        <f>IF(B5="","",Pricing!$B$20*B5/100)</f>
        <v/>
      </c>
      <c r="E5" s="20">
        <f>IF(B5="","",C5-D5)</f>
        <v/>
      </c>
    </row>
    <row r="6">
      <c r="A6" s="19" t="n"/>
      <c r="B6" s="19" t="n"/>
      <c r="C6" s="20">
        <f>IF(B6="","",MROUND(Pricing!$B$20*B6/100*(1+Pricing!$B$11/100),10))</f>
        <v/>
      </c>
      <c r="D6" s="20">
        <f>IF(B6="","",Pricing!$B$20*B6/100)</f>
        <v/>
      </c>
      <c r="E6" s="20">
        <f>IF(B6="","",C6-D6)</f>
        <v/>
      </c>
    </row>
    <row r="7">
      <c r="A7" s="19" t="n"/>
      <c r="B7" s="19" t="n"/>
      <c r="C7" s="20">
        <f>IF(B7="","",MROUND(Pricing!$B$20*B7/100*(1+Pricing!$B$11/100),10))</f>
        <v/>
      </c>
      <c r="D7" s="20">
        <f>IF(B7="","",Pricing!$B$20*B7/100)</f>
        <v/>
      </c>
      <c r="E7" s="20">
        <f>IF(B7="","",C7-D7)</f>
        <v/>
      </c>
    </row>
    <row r="9">
      <c r="A9" s="9" t="inlineStr">
        <is>
          <t>Total</t>
        </is>
      </c>
      <c r="B9">
        <f>SUM(B2:B7)</f>
        <v/>
      </c>
      <c r="C9" s="20">
        <f>SUM(C2:C7)</f>
        <v/>
      </c>
      <c r="D9" s="20">
        <f>SUM(D2:D7)</f>
        <v/>
      </c>
      <c r="E9" s="20">
        <f>SUM(E2:E7)</f>
        <v/>
      </c>
    </row>
    <row r="10">
      <c r="A10" s="9" t="inlineStr">
        <is>
          <t>Unused capacity (cost we carry)</t>
        </is>
      </c>
      <c r="B10">
        <f>MAX(0,100-B9)</f>
        <v/>
      </c>
      <c r="D10" s="20">
        <f>Pricing!B20*B10/100</f>
        <v/>
      </c>
    </row>
    <row r="11">
      <c r="A11" s="9" t="inlineStr">
        <is>
          <t>Result vs full-time cost</t>
        </is>
      </c>
      <c r="C11" s="20">
        <f>C9-Pricing!B20</f>
        <v/>
      </c>
    </row>
    <row r="13">
      <c r="A13" s="21" t="inlineStr">
        <is>
          <t>Fill the clients and their shares for one employee. If the shares total less than 100% the unused part is our cost; above 100% is not allowed.</t>
        </is>
      </c>
    </row>
  </sheetData>
  <dataValidations count="1">
    <dataValidation sqref="B2:B7" showDropDown="0" showInputMessage="0" showErrorMessage="0" allowBlank="0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2026-10-22T13:58:07Z</dcterms:created>
  <dcterms:modified xmlns:dcterms="http://purl.org/dc/terms/" xmlns:xsi="http://www.w3.org/2001/XMLSchema-instance" xsi:type="dcterms:W3CDTF">2026-10-22T13:58:07Z</dcterms:modified>
</cp:coreProperties>
</file>